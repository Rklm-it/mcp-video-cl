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душ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₽&quot;;-#,##0 &quot;₽&quot;;&quot;-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95959"/>
    </font>
    <font>
      <name val="Arial"/>
      <color rgb="00C00000"/>
    </font>
    <font>
      <name val="Arial"/>
      <b val="1"/>
      <color rgb="00FFFFFF"/>
      <sz val="12"/>
    </font>
    <font>
      <name val="Arial"/>
    </font>
    <font>
      <name val="Arial"/>
      <color rgb="000000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64" fontId="6" fillId="3" borderId="0" pivotButton="0" quotePrefix="0" xfId="0"/>
    <xf numFmtId="0" fontId="7" fillId="0" borderId="0" pivotButton="0" quotePrefix="0" xfId="0"/>
    <xf numFmtId="164" fontId="7" fillId="0" borderId="0" pivotButton="0" quotePrefix="0" xfId="0"/>
    <xf numFmtId="1" fontId="6" fillId="3" borderId="0" pivotButton="0" quotePrefix="0" xfId="0"/>
    <xf numFmtId="165" fontId="6" fillId="3" borderId="0" pivotButton="0" quotePrefix="0" xfId="0"/>
    <xf numFmtId="164" fontId="5" fillId="0" borderId="0" pivotButton="0" quotePrefix="0" xfId="0"/>
    <xf numFmtId="164" fontId="7" fillId="4" borderId="0" pivotButton="0" quotePrefix="0" xfId="0"/>
    <xf numFmtId="0" fontId="5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20" customWidth="1" min="2" max="2"/>
    <col width="70" customWidth="1" min="3" max="3"/>
  </cols>
  <sheetData>
    <row r="1">
      <c r="A1" s="1" t="inlineStr">
        <is>
          <t>Посчитай свою подушку безопасности</t>
        </is>
      </c>
    </row>
    <row r="2">
      <c r="A2" s="2" t="inlineStr">
        <is>
          <t>«Роман считает за вас» · t.me/roman_schitaet · жёлтые ячейки меняете вы, остальное считается само</t>
        </is>
      </c>
    </row>
    <row r="3">
      <c r="A3" s="3" t="inlineStr">
        <is>
          <t>В жёлтых ячейках стоит пример — замените его своими цифрами.</t>
        </is>
      </c>
    </row>
    <row r="5">
      <c r="A5" s="4" t="inlineStr">
        <is>
          <t>1. Обязательные расходы в месяц</t>
        </is>
      </c>
      <c r="B5" s="5" t="n"/>
      <c r="C5" s="5" t="n"/>
    </row>
    <row r="6">
      <c r="A6" s="6" t="inlineStr">
        <is>
          <t>Жильё и коммуналка</t>
        </is>
      </c>
      <c r="B6" s="7" t="n">
        <v>15000</v>
      </c>
    </row>
    <row r="7">
      <c r="A7" s="6" t="inlineStr">
        <is>
          <t>Еда</t>
        </is>
      </c>
      <c r="B7" s="7" t="n">
        <v>20000</v>
      </c>
    </row>
    <row r="8">
      <c r="A8" s="6" t="inlineStr">
        <is>
          <t>Проезд, бензин</t>
        </is>
      </c>
      <c r="B8" s="7" t="n">
        <v>5000</v>
      </c>
    </row>
    <row r="9">
      <c r="A9" s="6" t="inlineStr">
        <is>
          <t>Связь и интернет</t>
        </is>
      </c>
      <c r="B9" s="7" t="n">
        <v>1500</v>
      </c>
    </row>
    <row r="10">
      <c r="A10" s="6" t="inlineStr">
        <is>
          <t>Кредиты (обязательные платежи)</t>
        </is>
      </c>
      <c r="B10" s="7" t="n">
        <v>8000</v>
      </c>
    </row>
    <row r="11">
      <c r="A11" s="6" t="inlineStr">
        <is>
          <t>Лекарства, здоровье</t>
        </is>
      </c>
      <c r="B11" s="7" t="n">
        <v>2000</v>
      </c>
    </row>
    <row r="12">
      <c r="A12" s="6" t="inlineStr">
        <is>
          <t>Дети: садик, школа, кружки</t>
        </is>
      </c>
      <c r="B12" s="7" t="n">
        <v>5000</v>
      </c>
    </row>
    <row r="13">
      <c r="A13" s="6" t="inlineStr">
        <is>
          <t>Прочее, без чего нельзя</t>
        </is>
      </c>
      <c r="B13" s="7" t="n">
        <v>3500</v>
      </c>
    </row>
    <row r="14">
      <c r="A14" s="8" t="inlineStr">
        <is>
          <t>Итого обязательных расходов</t>
        </is>
      </c>
      <c r="B14" s="9">
        <f>SUM(B6:B13)</f>
        <v/>
      </c>
      <c r="C14" s="2" t="inlineStr">
        <is>
          <t>Не кафе, подписки и покупки «по скидке» — только то, без чего нельзя</t>
        </is>
      </c>
    </row>
    <row r="16">
      <c r="A16" s="4" t="inlineStr">
        <is>
          <t>2. Параметры</t>
        </is>
      </c>
      <c r="B16" s="5" t="n"/>
      <c r="C16" s="5" t="n"/>
    </row>
    <row r="17">
      <c r="A17" s="6" t="inlineStr">
        <is>
          <t>На сколько месяцев подушка</t>
        </is>
      </c>
      <c r="B17" s="10" t="n">
        <v>5</v>
      </c>
      <c r="C17" s="2" t="inlineStr">
        <is>
          <t>Росстат, июль 2026: работу ищут в среднем 4,4 мес. (мужчины) и 5,6 мес. (женщины)</t>
        </is>
      </c>
    </row>
    <row r="18">
      <c r="A18" s="6" t="inlineStr">
        <is>
          <t>Учитывать пособие по безработице? (1 — да, 0 — нет)</t>
        </is>
      </c>
      <c r="B18" s="10" t="n">
        <v>0</v>
      </c>
      <c r="C18" s="2" t="inlineStr">
        <is>
          <t>Надёжнее считать без пособия, а пособие держать как запас</t>
        </is>
      </c>
    </row>
    <row r="19">
      <c r="A19" s="6" t="inlineStr">
        <is>
          <t>Уже накоплено</t>
        </is>
      </c>
      <c r="B19" s="7" t="n">
        <v>20000</v>
      </c>
    </row>
    <row r="20">
      <c r="A20" s="6" t="inlineStr">
        <is>
          <t>Откладываю каждый месяц</t>
        </is>
      </c>
      <c r="B20" s="7" t="n">
        <v>10000</v>
      </c>
    </row>
    <row r="21">
      <c r="A21" s="6" t="inlineStr">
        <is>
          <t>Ставка накопительного счёта, % годовых</t>
        </is>
      </c>
      <c r="B21" s="11" t="n">
        <v>0.11</v>
      </c>
      <c r="C21" s="2" t="inlineStr">
        <is>
          <t>Пример: Сейвы с Плюсом после промо — 11%, без Плюса — 8% (условия на 28.09.2026)</t>
        </is>
      </c>
    </row>
    <row r="23">
      <c r="A23" s="4" t="inlineStr">
        <is>
          <t>3. Результат</t>
        </is>
      </c>
      <c r="B23" s="5" t="n"/>
      <c r="C23" s="5" t="n"/>
    </row>
    <row r="24">
      <c r="A24" s="6" t="inlineStr">
        <is>
          <t>Максимальное пособие за этот срок (2026)</t>
        </is>
      </c>
      <c r="B24" s="12">
        <f>IF(B18=1,MIN(B17,3)*15886+MAX(MIN(B17,6)-3,0)*6209,0)</f>
        <v/>
      </c>
      <c r="C24" s="2" t="inlineStr">
        <is>
          <t>15 886 ₽ в месяцы 1–3, 6 209 ₽ в месяцы 4–6, при стаже больше 26 недель за год (garant.ru)</t>
        </is>
      </c>
    </row>
    <row r="25">
      <c r="A25" s="8" t="inlineStr">
        <is>
          <t>Цель: размер подушки</t>
        </is>
      </c>
      <c r="B25" s="13">
        <f>MAX(B14*B17-B24,0)</f>
        <v/>
      </c>
    </row>
    <row r="26">
      <c r="A26" s="6" t="inlineStr">
        <is>
          <t>Осталось накопить</t>
        </is>
      </c>
      <c r="B26" s="12">
        <f>MAX(B25-B19,0)</f>
        <v/>
      </c>
    </row>
    <row r="27">
      <c r="A27" s="6" t="inlineStr">
        <is>
          <t>Месяцев до цели — если деньги лежат на карте</t>
        </is>
      </c>
      <c r="B27" s="14">
        <f>IF(B26=0,0,IF(B20&lt;=0,"откладывайте хоть сколько-то",ROUNDUP(B26/B20,0)))</f>
        <v/>
      </c>
    </row>
    <row r="28">
      <c r="A28" s="8" t="inlineStr">
        <is>
          <t>Месяцев до цели — на накопительном счёте</t>
        </is>
      </c>
      <c r="B28" s="15">
        <f>IF(B26=0,0,IF(B20&lt;=0,"откладывайте хоть сколько-то",IF(B21=0,ROUNDUP(B26/B20,0),ROUNDUP(NPER(B21/12,-B20,-B19,B25),0))))</f>
        <v/>
      </c>
      <c r="C28" s="2" t="inlineStr">
        <is>
          <t>Проценты раз в месяц — упрощение; если счёт начисляет каждый день, выйдет чуть быстрее</t>
        </is>
      </c>
    </row>
    <row r="29">
      <c r="A29" s="6" t="inlineStr">
        <is>
          <t>Первый рубеж: 1 месяц расходов — через сколько месяцев</t>
        </is>
      </c>
      <c r="B29" s="14">
        <f>IF(B19&gt;=B14,0,IF(B20&lt;=0,"—",IF(B21=0,ROUNDUP((B14-B19)/B20,0),ROUNDUP(NPER(B21/12,-B20,-B19,B14),0))))</f>
        <v/>
      </c>
      <c r="C29" s="2" t="inlineStr">
        <is>
          <t>Начните с этой цели — до неё рукой подать</t>
        </is>
      </c>
    </row>
    <row r="31">
      <c r="A31" s="4" t="inlineStr">
        <is>
          <t>Где хранить</t>
        </is>
      </c>
      <c r="B31" s="5" t="n"/>
      <c r="C31" s="5" t="n"/>
    </row>
    <row r="32">
      <c r="A32" s="6" t="inlineStr">
        <is>
          <t>1–2 месяца расходов — на накопительном счёте: снять можно в любой день.</t>
        </is>
      </c>
    </row>
    <row r="33">
      <c r="A33" s="6" t="inlineStr">
        <is>
          <t>Остальное можно на вкладе на 3–6 месяцев: ставка выше и зафиксирована.</t>
        </is>
      </c>
    </row>
    <row r="34">
      <c r="A34" s="6" t="inlineStr">
        <is>
          <t>Деньги на счетах и вкладах застрахованы АСВ до 1,4 млн ₽ на человека в одном банке.</t>
        </is>
      </c>
    </row>
    <row r="35">
      <c r="A35" s="6" t="inlineStr">
        <is>
          <t>Разборы с расчётами: dzen.ru/id/6ab96fe58a40ec71b09d18a2 · Telegram: t.me/roman_schitaet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2026-09-28T21:09:15Z</dcterms:created>
  <dcterms:modified xsi:type="dcterms:W3CDTF">2026-09-28T21:09:15Z</dcterms:modified>
</cp:coreProperties>
</file>